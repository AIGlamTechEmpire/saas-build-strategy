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pportunity Map" sheetId="1" state="visible" r:id="rId1"/>
    <sheet name="4 Stages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"/>
    <numFmt numFmtId="166" formatCode="0.0&quot;x&quot;"/>
  </numFmts>
  <fonts count="25">
    <font>
      <name val="Calibri"/>
      <color theme="1"/>
      <sz val="11"/>
      <scheme val="minor"/>
    </font>
    <font>
      <name val="Calibri"/>
      <b val="1"/>
      <color rgb="FF1A1A1A"/>
      <sz val="20"/>
    </font>
    <font>
      <name val="Calibri"/>
      <i val="1"/>
      <color rgb="FF4B5563"/>
      <sz val="11"/>
    </font>
    <font>
      <name val="Calibri"/>
      <b val="1"/>
      <color rgb="FF1A1A1A"/>
      <sz val="16"/>
    </font>
    <font>
      <name val="Calibri"/>
      <b val="1"/>
      <color rgb="FFFFFFFF"/>
      <sz val="11"/>
    </font>
    <font>
      <name val="Calibri"/>
      <color rgb="FF1A1A1A"/>
      <sz val="11"/>
    </font>
    <font>
      <name val="Calibri"/>
      <b val="1"/>
      <color rgb="FF1A1A1A"/>
      <sz val="12"/>
    </font>
    <font>
      <name val="Calibri"/>
      <i val="1"/>
      <color rgb="FF1A1A1A"/>
      <sz val="11"/>
    </font>
    <font>
      <name val="Calibri"/>
      <b val="1"/>
      <color rgb="FF1A1A1A"/>
      <sz val="11"/>
    </font>
    <font>
      <name val="Calibri"/>
      <b val="1"/>
      <color rgb="FFDC2626"/>
      <sz val="12"/>
    </font>
    <font>
      <name val="Calibri"/>
      <b val="1"/>
      <color rgb="FFB45309"/>
      <sz val="12"/>
    </font>
    <font>
      <name val="Calibri"/>
      <b val="1"/>
      <color rgb="FF059669"/>
      <sz val="12"/>
    </font>
    <font>
      <name val="Calibri"/>
      <b val="1"/>
      <color rgb="FF1A1A1A"/>
      <sz val="14"/>
    </font>
    <font>
      <name val="Calibri"/>
      <color rgb="FF4B5563"/>
      <sz val="11"/>
    </font>
    <font>
      <name val="Calibri"/>
      <b val="1"/>
      <i val="1"/>
      <color rgb="FF2563EB"/>
      <sz val="11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C0006B"/>
      <sz val="12"/>
    </font>
    <font>
      <name val="Arial"/>
      <color rgb="00000000"/>
      <sz val="10"/>
    </font>
    <font>
      <name val="Arial"/>
      <b val="1"/>
      <color rgb="000000FF"/>
      <sz val="10"/>
    </font>
    <font>
      <name val="Arial"/>
      <i val="1"/>
      <color rgb="00808080"/>
      <sz val="9"/>
    </font>
    <font>
      <name val="Arial"/>
      <b val="1"/>
      <color rgb="00C0006B"/>
      <sz val="10"/>
    </font>
    <font>
      <name val="Arial"/>
      <b val="1"/>
      <sz val="10"/>
    </font>
    <font>
      <name val="Arial"/>
      <b val="1"/>
      <color rgb="00C0006B"/>
      <sz val="11"/>
    </font>
  </fonts>
  <fills count="11">
    <fill>
      <patternFill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FFFFF"/>
        <bgColor rgb="FFFFFFFF"/>
      </patternFill>
    </fill>
    <fill>
      <patternFill patternType="solid">
        <fgColor rgb="FFFCA5A5"/>
        <bgColor rgb="FFFCA5A5"/>
      </patternFill>
    </fill>
    <fill>
      <patternFill patternType="solid">
        <fgColor rgb="FFFCD34D"/>
        <bgColor rgb="FFFCD34D"/>
      </patternFill>
    </fill>
    <fill>
      <patternFill patternType="solid">
        <fgColor rgb="FF60A5FA"/>
        <bgColor rgb="FF60A5FA"/>
      </patternFill>
    </fill>
    <fill>
      <patternFill patternType="solid">
        <fgColor rgb="FF86EFAC"/>
        <bgColor rgb="FF86EFAC"/>
      </patternFill>
    </fill>
    <fill>
      <patternFill patternType="solid">
        <fgColor rgb="FFF9FAFB"/>
        <bgColor rgb="FFF9FAFB"/>
      </patternFill>
    </fill>
    <fill>
      <patternFill patternType="solid">
        <fgColor rgb="00C0006B"/>
      </patternFill>
    </fill>
    <fill>
      <patternFill patternType="solid">
        <fgColor rgb="00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12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left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left" vertical="center" wrapText="1"/>
    </xf>
    <xf numFmtId="0" fontId="2" fillId="8" borderId="3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14" fillId="0" borderId="0" applyAlignment="1" pivotButton="0" quotePrefix="0" xfId="0">
      <alignment vertical="bottom"/>
    </xf>
    <xf numFmtId="0" fontId="0" fillId="0" borderId="0" pivotButton="0" quotePrefix="0" xfId="0"/>
    <xf numFmtId="0" fontId="17" fillId="9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left" vertical="center" wrapText="1"/>
    </xf>
    <xf numFmtId="0" fontId="16" fillId="3" borderId="4" applyAlignment="1" pivotButton="0" quotePrefix="0" xfId="0">
      <alignment horizontal="center" vertical="center" wrapText="1"/>
    </xf>
    <xf numFmtId="164" fontId="15" fillId="0" borderId="4" pivotButton="0" quotePrefix="0" xfId="0"/>
    <xf numFmtId="165" fontId="15" fillId="0" borderId="4" pivotButton="0" quotePrefix="0" xfId="0"/>
    <xf numFmtId="0" fontId="15" fillId="8" borderId="4" applyAlignment="1" pivotButton="0" quotePrefix="0" xfId="0">
      <alignment horizontal="center" vertical="center" wrapText="1"/>
    </xf>
    <xf numFmtId="0" fontId="15" fillId="8" borderId="4" applyAlignment="1" pivotButton="0" quotePrefix="0" xfId="0">
      <alignment horizontal="left" vertical="center" wrapText="1"/>
    </xf>
    <xf numFmtId="0" fontId="16" fillId="8" borderId="4" applyAlignment="1" pivotButton="0" quotePrefix="0" xfId="0">
      <alignment horizontal="center" vertical="center" wrapText="1"/>
    </xf>
    <xf numFmtId="0" fontId="18" fillId="0" borderId="0" pivotButton="0" quotePrefix="0" xfId="0"/>
    <xf numFmtId="0" fontId="19" fillId="0" borderId="0" pivotButton="0" quotePrefix="0" xfId="0"/>
    <xf numFmtId="164" fontId="20" fillId="10" borderId="4" pivotButton="0" quotePrefix="0" xfId="0"/>
    <xf numFmtId="0" fontId="21" fillId="0" borderId="0" pivotButton="0" quotePrefix="0" xfId="0"/>
    <xf numFmtId="0" fontId="22" fillId="0" borderId="0" pivotButton="0" quotePrefix="0" xfId="0"/>
    <xf numFmtId="165" fontId="23" fillId="0" borderId="4" pivotButton="0" quotePrefix="0" xfId="0"/>
    <xf numFmtId="165" fontId="20" fillId="10" borderId="4" pivotButton="0" quotePrefix="0" xfId="0"/>
    <xf numFmtId="1" fontId="20" fillId="10" borderId="4" pivotButton="0" quotePrefix="0" xfId="0"/>
    <xf numFmtId="1" fontId="15" fillId="0" borderId="4" pivotButton="0" quotePrefix="0" xfId="0"/>
    <xf numFmtId="166" fontId="23" fillId="0" borderId="4" pivotButton="0" quotePrefix="0" xfId="0"/>
    <xf numFmtId="2" fontId="15" fillId="0" borderId="4" pivotButton="0" quotePrefix="0" xfId="0"/>
    <xf numFmtId="0" fontId="24" fillId="0" borderId="0" pivotButton="0" quotePrefix="0" xfId="0"/>
    <xf numFmtId="1" fontId="24" fillId="0" borderId="4" pivotButton="0" quotePrefix="0" xfId="0"/>
    <xf numFmtId="164" fontId="24" fillId="0" borderId="4" pivotButton="0" quotePrefix="0" xfId="0"/>
    <xf numFmtId="165" fontId="24" fillId="0" borderId="4" pivotButton="0" quotePrefix="0" xfId="0"/>
  </cellXfs>
  <cellStyles count="1">
    <cellStyle name="Normal" xfId="0" builtinId="0"/>
  </cellStyles>
  <dxfs count="3">
    <dxf>
      <font>
        <name val="Calibri"/>
        <b val="1"/>
        <color rgb="FFDC2626"/>
        <sz val="11"/>
      </font>
      <fill>
        <patternFill patternType="solid">
          <fgColor rgb="FFFEE2E2"/>
          <bgColor rgb="FFFEE2E2"/>
        </patternFill>
      </fill>
      <border/>
    </dxf>
    <dxf>
      <font>
        <name val="Calibri"/>
        <b val="1"/>
        <color rgb="FFB45309"/>
        <sz val="11"/>
      </font>
      <fill>
        <patternFill patternType="solid">
          <fgColor rgb="FFFEF3C7"/>
          <bgColor rgb="FFFEF3C7"/>
        </patternFill>
      </fill>
      <border/>
    </dxf>
    <dxf>
      <font>
        <name val="Calibri"/>
        <b val="1"/>
        <color rgb="FF059669"/>
        <sz val="11"/>
      </font>
      <fill>
        <patternFill patternType="solid">
          <fgColor rgb="FFD1FAE5"/>
          <bgColor rgb="FFD1FAE5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Pinky Brain Revenue System</author>
  </authors>
  <commentList>
    <comment ref="C4" authorId="0" shapeId="0">
      <text>
        <t>STATED: 100 letters written, 2 sent. ESTIMATE: 98 remaining x ~4 min each = 6.5 hrs.</t>
      </text>
    </comment>
    <comment ref="C5" authorId="0" shapeId="0">
      <text>
        <t>ESTIMATE - confirm. Assumes replies start arriving once the 98 go out.</t>
      </text>
    </comment>
    <comment ref="C6" authorId="0" shapeId="0">
      <text>
        <t>PARTLY BUILT: Claude Code + Higgsfield pipeline already in progress.</t>
      </text>
    </comment>
    <comment ref="C7" authorId="0" shapeId="0">
      <text>
        <t>ESTIMATE - confirm. High cost of doing it wrong: authored IP, stays at Doing on purpose.</t>
      </text>
    </comment>
    <comment ref="C8" authorId="0" shapeId="0">
      <text>
        <t>ESTIMATE - confirm.</t>
      </text>
    </comment>
    <comment ref="C9" authorId="0" shapeId="0">
      <text>
        <t>INVESTMENT, not a bleed. Listed so total hours are honest.</t>
      </text>
    </comment>
    <comment ref="C10" authorId="0" shapeId="0">
      <text>
        <t>INVESTMENT, not a bleed. Listed so total hours are honest.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29" min="1" max="1"/>
    <col width="18" customWidth="1" style="29" min="2" max="2"/>
    <col width="48" customWidth="1" style="29" min="3" max="3"/>
    <col width="13" customWidth="1" style="29" min="4" max="4"/>
    <col width="13" customWidth="1" style="29" min="5" max="5"/>
    <col width="13" customWidth="1" style="29" min="6" max="6"/>
    <col width="14" customWidth="1" style="29" min="7" max="8"/>
    <col width="14" customWidth="1" style="29" min="8" max="8"/>
    <col width="16" customWidth="1" style="29" min="9" max="9"/>
    <col width="11" customWidth="1" style="29" min="10" max="10"/>
    <col width="13" customWidth="1" style="29" min="11" max="26"/>
    <col width="16" customWidth="1" style="29" min="12" max="12"/>
    <col width="14" customWidth="1" style="29" min="13" max="13"/>
  </cols>
  <sheetData>
    <row r="1">
      <c r="A1" s="1" t="inlineStr">
        <is>
          <t>AI Opportunity Map</t>
        </is>
      </c>
    </row>
    <row r="3" ht="36" customHeight="1" s="29">
      <c r="A3" s="4" t="inlineStr">
        <is>
          <t>#</t>
        </is>
      </c>
      <c r="B3" s="4" t="inlineStr">
        <is>
          <t>Department</t>
        </is>
      </c>
      <c r="C3" s="4" t="inlineStr">
        <is>
          <t>Task</t>
        </is>
      </c>
      <c r="D3" s="4" t="inlineStr">
        <is>
          <t>Frequency</t>
        </is>
      </c>
      <c r="E3" s="4" t="inlineStr">
        <is>
          <t>Hrs per occurrence</t>
        </is>
      </c>
      <c r="F3" s="4" t="inlineStr">
        <is>
          <t>Total hrs/month</t>
        </is>
      </c>
      <c r="G3" s="4" t="inlineStr">
        <is>
          <t>Current Stage</t>
        </is>
      </c>
      <c r="H3" s="4" t="inlineStr">
        <is>
          <t>Target Stage</t>
        </is>
      </c>
      <c r="I3" s="4" t="inlineStr">
        <is>
          <t>Cost of doing it wrong</t>
        </is>
      </c>
      <c r="J3" s="4" t="inlineStr">
        <is>
          <t>Priority</t>
        </is>
      </c>
      <c r="K3" s="30" t="inlineStr">
        <is>
          <t>Your rate $/hr</t>
        </is>
      </c>
      <c r="L3" s="30" t="inlineStr">
        <is>
          <t>Capacity value at your rate</t>
        </is>
      </c>
      <c r="M3" s="30" t="inlineStr">
        <is>
          <t>Billable-hrs equivalent</t>
        </is>
      </c>
    </row>
    <row r="4" ht="24" customHeight="1" s="29">
      <c r="A4" s="31" t="n">
        <v>1</v>
      </c>
      <c r="B4" s="31" t="inlineStr">
        <is>
          <t>Sales</t>
        </is>
      </c>
      <c r="C4" s="32" t="inlineStr">
        <is>
          <t>Send outreach letters by hand via SiteGround webmail</t>
        </is>
      </c>
      <c r="D4" s="33" t="inlineStr">
        <is>
          <t>Monthly</t>
        </is>
      </c>
      <c r="E4" s="33" t="n">
        <v>6.5</v>
      </c>
      <c r="F4" s="31">
        <f>IF(D4="","",IF(D4="Daily",E4*22,IF(D4="Weekly",E4*4.33,IF(D4="Monthly",E4,IF(D4="Quarterly",E4*0.33,IF(D4="Annually",E4*0.083,""))))))</f>
        <v/>
      </c>
      <c r="G4" s="33" t="inlineStr">
        <is>
          <t>Doing</t>
        </is>
      </c>
      <c r="H4" s="33" t="inlineStr">
        <is>
          <t>Delegating</t>
        </is>
      </c>
      <c r="I4" s="33" t="inlineStr">
        <is>
          <t>Medium</t>
        </is>
      </c>
      <c r="J4" s="31">
        <f>IF(OR(F4="",I4=""),"",IF(AND(F4&gt;=8,I4&lt;&gt;"High"),"HIGH",IF(OR(F4&lt;4,I4="High"),"LOW","MEDIUM")))</f>
        <v/>
      </c>
      <c r="K4" s="34">
        <f>IF(F4="","",$C$32)</f>
        <v/>
      </c>
      <c r="L4" s="34">
        <f>IF(F4="","",F4*K4)</f>
        <v/>
      </c>
      <c r="M4" s="35">
        <f>IF(F4="","",F4)</f>
        <v/>
      </c>
    </row>
    <row r="5" ht="24" customHeight="1" s="29">
      <c r="A5" s="36" t="n">
        <v>2</v>
      </c>
      <c r="B5" s="36" t="inlineStr">
        <is>
          <t>Sales</t>
        </is>
      </c>
      <c r="C5" s="37" t="inlineStr">
        <is>
          <t>Write replies to outreach responses by hand</t>
        </is>
      </c>
      <c r="D5" s="38" t="inlineStr">
        <is>
          <t>Weekly</t>
        </is>
      </c>
      <c r="E5" s="38" t="n">
        <v>2</v>
      </c>
      <c r="F5" s="36">
        <f>IF(D5="","",IF(D5="Daily",E5*22,IF(D5="Weekly",E5*4.33,IF(D5="Monthly",E5,IF(D5="Quarterly",E5*0.33,IF(D5="Annually",E5*0.083,""))))))</f>
        <v/>
      </c>
      <c r="G5" s="38" t="inlineStr">
        <is>
          <t>Doing</t>
        </is>
      </c>
      <c r="H5" s="38" t="inlineStr">
        <is>
          <t>Delegating</t>
        </is>
      </c>
      <c r="I5" s="38" t="inlineStr">
        <is>
          <t>Medium</t>
        </is>
      </c>
      <c r="J5" s="36">
        <f>IF(OR(F5="",I5=""),"",IF(AND(F5&gt;=8,I5&lt;&gt;"High"),"HIGH",IF(OR(F5&lt;4,I5="High"),"LOW","MEDIUM")))</f>
        <v/>
      </c>
      <c r="K5" s="34">
        <f>IF(F5="","",$C$32)</f>
        <v/>
      </c>
      <c r="L5" s="34">
        <f>IF(F5="","",F5*K5)</f>
        <v/>
      </c>
      <c r="M5" s="35">
        <f>IF(F5="","",F5)</f>
        <v/>
      </c>
    </row>
    <row r="6" ht="24" customHeight="1" s="29">
      <c r="A6" s="31" t="n">
        <v>3</v>
      </c>
      <c r="B6" s="31" t="inlineStr">
        <is>
          <t>Marketing</t>
        </is>
      </c>
      <c r="C6" s="32" t="inlineStr">
        <is>
          <t>Social video production (TikTok / Instagram)</t>
        </is>
      </c>
      <c r="D6" s="33" t="inlineStr">
        <is>
          <t>Weekly</t>
        </is>
      </c>
      <c r="E6" s="33" t="n">
        <v>6</v>
      </c>
      <c r="F6" s="31">
        <f>IF(D6="","",IF(D6="Daily",E6*22,IF(D6="Weekly",E6*4.33,IF(D6="Monthly",E6,IF(D6="Quarterly",E6*0.33,IF(D6="Annually",E6*0.083,""))))))</f>
        <v/>
      </c>
      <c r="G6" s="33" t="inlineStr">
        <is>
          <t>Designing</t>
        </is>
      </c>
      <c r="H6" s="33" t="inlineStr">
        <is>
          <t>Delegating</t>
        </is>
      </c>
      <c r="I6" s="33" t="inlineStr">
        <is>
          <t>Low</t>
        </is>
      </c>
      <c r="J6" s="31">
        <f>IF(OR(F6="",I6=""),"",IF(AND(F6&gt;=8,I6&lt;&gt;"High"),"HIGH",IF(OR(F6&lt;4,I6="High"),"LOW","MEDIUM")))</f>
        <v/>
      </c>
      <c r="K6" s="34">
        <f>IF(F6="","",$C$32)</f>
        <v/>
      </c>
      <c r="L6" s="34">
        <f>IF(F6="","",F6*K6)</f>
        <v/>
      </c>
      <c r="M6" s="35">
        <f>IF(F6="","",F6)</f>
        <v/>
      </c>
    </row>
    <row r="7" ht="24" customHeight="1" s="29">
      <c r="A7" s="36" t="n">
        <v>4</v>
      </c>
      <c r="B7" s="36" t="inlineStr">
        <is>
          <t>Product/Delivery</t>
        </is>
      </c>
      <c r="C7" s="37" t="inlineStr">
        <is>
          <t>Book writing</t>
        </is>
      </c>
      <c r="D7" s="38" t="inlineStr">
        <is>
          <t>Weekly</t>
        </is>
      </c>
      <c r="E7" s="38" t="n">
        <v>5</v>
      </c>
      <c r="F7" s="36">
        <f>IF(D7="","",IF(D7="Daily",E7*22,IF(D7="Weekly",E7*4.33,IF(D7="Monthly",E7,IF(D7="Quarterly",E7*0.33,IF(D7="Annually",E7*0.083,""))))))</f>
        <v/>
      </c>
      <c r="G7" s="38" t="inlineStr">
        <is>
          <t>Doing</t>
        </is>
      </c>
      <c r="H7" s="38" t="inlineStr">
        <is>
          <t>Doing</t>
        </is>
      </c>
      <c r="I7" s="38" t="inlineStr">
        <is>
          <t>High</t>
        </is>
      </c>
      <c r="J7" s="36">
        <f>IF(OR(F7="",I7=""),"",IF(AND(F7&gt;=8,I7&lt;&gt;"High"),"HIGH",IF(OR(F7&lt;4,I7="High"),"LOW","MEDIUM")))</f>
        <v/>
      </c>
      <c r="K7" s="34">
        <f>IF(F7="","",$C$32)</f>
        <v/>
      </c>
      <c r="L7" s="34">
        <f>IF(F7="","",F7*K7)</f>
        <v/>
      </c>
      <c r="M7" s="35">
        <f>IF(F7="","",F7)</f>
        <v/>
      </c>
    </row>
    <row r="8" ht="24" customHeight="1" s="29">
      <c r="A8" s="31" t="n">
        <v>5</v>
      </c>
      <c r="B8" s="31" t="inlineStr">
        <is>
          <t>Operations</t>
        </is>
      </c>
      <c r="C8" s="32" t="inlineStr">
        <is>
          <t>Agent / system building (this project)</t>
        </is>
      </c>
      <c r="D8" s="33" t="inlineStr">
        <is>
          <t>Weekly</t>
        </is>
      </c>
      <c r="E8" s="33" t="n">
        <v>10</v>
      </c>
      <c r="F8" s="31">
        <f>IF(D8="","",IF(D8="Daily",E8*22,IF(D8="Weekly",E8*4.33,IF(D8="Monthly",E8,IF(D8="Quarterly",E8*0.33,IF(D8="Annually",E8*0.083,""))))))</f>
        <v/>
      </c>
      <c r="G8" s="33" t="inlineStr">
        <is>
          <t>Doing</t>
        </is>
      </c>
      <c r="H8" s="33" t="inlineStr">
        <is>
          <t>Designing</t>
        </is>
      </c>
      <c r="I8" s="33" t="inlineStr">
        <is>
          <t>Medium</t>
        </is>
      </c>
      <c r="J8" s="31">
        <f>IF(OR(F8="",I8=""),"",IF(AND(F8&gt;=8,I8&lt;&gt;"High"),"HIGH",IF(OR(F8&lt;4,I8="High"),"LOW","MEDIUM")))</f>
        <v/>
      </c>
      <c r="K8" s="34">
        <f>IF(F8="","",$C$32)</f>
        <v/>
      </c>
      <c r="L8" s="34">
        <f>IF(F8="","",F8*K8)</f>
        <v/>
      </c>
      <c r="M8" s="35">
        <f>IF(F8="","",F8)</f>
        <v/>
      </c>
    </row>
    <row r="9" ht="21.75" customHeight="1" s="29">
      <c r="A9" s="36" t="n">
        <v>6</v>
      </c>
      <c r="B9" s="36" t="inlineStr">
        <is>
          <t>Operations</t>
        </is>
      </c>
      <c r="C9" s="37" t="inlineStr">
        <is>
          <t>Training: speaker class, agent class, power circle</t>
        </is>
      </c>
      <c r="D9" s="38" t="inlineStr">
        <is>
          <t>Weekly</t>
        </is>
      </c>
      <c r="E9" s="38" t="n">
        <v>6</v>
      </c>
      <c r="F9" s="36">
        <f>IF(D9="","",IF(D9="Daily",E9*22,IF(D9="Weekly",E9*4.33,IF(D9="Monthly",E9,IF(D9="Quarterly",E9*0.33,IF(D9="Annually",E9*0.083,""))))))</f>
        <v/>
      </c>
      <c r="G9" s="38" t="inlineStr">
        <is>
          <t>Doing</t>
        </is>
      </c>
      <c r="H9" s="38" t="inlineStr">
        <is>
          <t>Doing</t>
        </is>
      </c>
      <c r="I9" s="38" t="inlineStr">
        <is>
          <t>High</t>
        </is>
      </c>
      <c r="J9" s="36">
        <f>IF(OR(F9="",I9=""),"",IF(AND(F9&gt;=8,I9&lt;&gt;"High"),"HIGH",IF(OR(F9&lt;4,I9="High"),"LOW","MEDIUM")))</f>
        <v/>
      </c>
      <c r="K9" s="34">
        <f>IF(F9="","",$C$32)</f>
        <v/>
      </c>
      <c r="L9" s="34">
        <f>IF(F9="","",F9*K9)</f>
        <v/>
      </c>
      <c r="M9" s="35">
        <f>IF(F9="","",F9)</f>
        <v/>
      </c>
    </row>
    <row r="10" ht="21.75" customHeight="1" s="29">
      <c r="A10" s="31" t="n"/>
      <c r="B10" s="31" t="n"/>
      <c r="C10" s="32" t="n"/>
      <c r="D10" s="33" t="n"/>
      <c r="E10" s="33" t="n"/>
      <c r="F10" s="31">
        <f>IF(D10="","",IF(D10="Daily",E10*22,IF(D10="Weekly",E10*4.33,IF(D10="Monthly",E10,IF(D10="Quarterly",E10*0.33,IF(D10="Annually",E10*0.083,""))))))</f>
        <v/>
      </c>
      <c r="G10" s="33" t="n"/>
      <c r="H10" s="33" t="n"/>
      <c r="I10" s="33" t="n"/>
      <c r="J10" s="31">
        <f>IF(OR(F10="",I10=""),"",IF(AND(F10&gt;=8,I10&lt;&gt;"High"),"HIGH",IF(OR(F10&lt;4,I10="High"),"LOW","MEDIUM")))</f>
        <v/>
      </c>
      <c r="K10" s="34">
        <f>IF(F10="","",$C$32)</f>
        <v/>
      </c>
      <c r="L10" s="34">
        <f>IF(F10="","",F10*K10)</f>
        <v/>
      </c>
      <c r="M10" s="35">
        <f>IF(F10="","",F10)</f>
        <v/>
      </c>
    </row>
    <row r="11" ht="21.75" customHeight="1" s="29">
      <c r="A11" s="25" t="n"/>
      <c r="B11" s="25" t="n"/>
      <c r="C11" s="26" t="n"/>
      <c r="D11" s="25" t="n"/>
      <c r="E11" s="25" t="n"/>
      <c r="F11" s="24">
        <f>IF(D11="","",IF(D11="Daily",E11*22,IF(D11="Weekly",E11*4.33,IF(D11="Monthly",E11,IF(D11="Quarterly",E11*0.33,IF(D11="Annually",E11*0.083,""))))))</f>
        <v/>
      </c>
      <c r="G11" s="25" t="n"/>
      <c r="H11" s="25" t="n"/>
      <c r="I11" s="25" t="n"/>
      <c r="J11" s="24">
        <f>IF(OR(F11="",I11=""),"",IF(AND(F11&gt;=8,I11&lt;&gt;"High"),"HIGH",IF(OR(F11&lt;4,I11="High"),"LOW","MEDIUM")))</f>
        <v/>
      </c>
      <c r="K11" s="34">
        <f>IF(F11="","",$C$32)</f>
        <v/>
      </c>
      <c r="L11" s="34">
        <f>IF(F11="","",F11*K11)</f>
        <v/>
      </c>
      <c r="M11" s="35">
        <f>IF(F11="","",F11)</f>
        <v/>
      </c>
    </row>
    <row r="12" ht="21.75" customHeight="1" s="29">
      <c r="A12" s="6" t="n"/>
      <c r="B12" s="6" t="n"/>
      <c r="C12" s="27" t="n"/>
      <c r="D12" s="6" t="n"/>
      <c r="E12" s="6" t="n"/>
      <c r="F12" s="16">
        <f>IF(D12="","",IF(D12="Daily",E12*22,IF(D12="Weekly",E12*4.33,IF(D12="Monthly",E12,IF(D12="Quarterly",E12*0.33,IF(D12="Annually",E12*0.083,""))))))</f>
        <v/>
      </c>
      <c r="G12" s="6" t="n"/>
      <c r="H12" s="6" t="n"/>
      <c r="I12" s="6" t="n"/>
      <c r="J12" s="16">
        <f>IF(OR(F12="",I12=""),"",IF(AND(F12&gt;=8,I12&lt;&gt;"High"),"HIGH",IF(OR(F12&lt;4,I12="High"),"LOW","MEDIUM")))</f>
        <v/>
      </c>
      <c r="K12" s="34">
        <f>IF(F12="","",$C$32)</f>
        <v/>
      </c>
      <c r="L12" s="34">
        <f>IF(F12="","",F12*K12)</f>
        <v/>
      </c>
      <c r="M12" s="35">
        <f>IF(F12="","",F12)</f>
        <v/>
      </c>
    </row>
    <row r="13" ht="21.75" customHeight="1" s="29">
      <c r="A13" s="25" t="n"/>
      <c r="B13" s="25" t="n"/>
      <c r="C13" s="26" t="n"/>
      <c r="D13" s="25" t="n"/>
      <c r="E13" s="25" t="n"/>
      <c r="F13" s="24">
        <f>IF(D13="","",IF(D13="Daily",E13*22,IF(D13="Weekly",E13*4.33,IF(D13="Monthly",E13,IF(D13="Quarterly",E13*0.33,IF(D13="Annually",E13*0.083,""))))))</f>
        <v/>
      </c>
      <c r="G13" s="25" t="n"/>
      <c r="H13" s="25" t="n"/>
      <c r="I13" s="25" t="n"/>
      <c r="J13" s="24">
        <f>IF(OR(F13="",I13=""),"",IF(AND(F13&gt;=8,I13&lt;&gt;"High"),"HIGH",IF(OR(F13&lt;4,I13="High"),"LOW","MEDIUM")))</f>
        <v/>
      </c>
      <c r="K13" s="34">
        <f>IF(F13="","",$C$32)</f>
        <v/>
      </c>
      <c r="L13" s="34">
        <f>IF(F13="","",F13*K13)</f>
        <v/>
      </c>
      <c r="M13" s="35">
        <f>IF(F13="","",F13)</f>
        <v/>
      </c>
    </row>
    <row r="14" ht="21.75" customHeight="1" s="29">
      <c r="A14" s="6" t="n"/>
      <c r="B14" s="6" t="n"/>
      <c r="C14" s="27" t="n"/>
      <c r="D14" s="6" t="n"/>
      <c r="E14" s="6" t="n"/>
      <c r="F14" s="16">
        <f>IF(D14="","",IF(D14="Daily",E14*22,IF(D14="Weekly",E14*4.33,IF(D14="Monthly",E14,IF(D14="Quarterly",E14*0.33,IF(D14="Annually",E14*0.083,""))))))</f>
        <v/>
      </c>
      <c r="G14" s="6" t="n"/>
      <c r="H14" s="6" t="n"/>
      <c r="I14" s="6" t="n"/>
      <c r="J14" s="16">
        <f>IF(OR(F14="",I14=""),"",IF(AND(F14&gt;=8,I14&lt;&gt;"High"),"HIGH",IF(OR(F14&lt;4,I14="High"),"LOW","MEDIUM")))</f>
        <v/>
      </c>
      <c r="K14" s="34">
        <f>IF(F14="","",$C$32)</f>
        <v/>
      </c>
      <c r="L14" s="34">
        <f>IF(F14="","",F14*K14)</f>
        <v/>
      </c>
      <c r="M14" s="35">
        <f>IF(F14="","",F14)</f>
        <v/>
      </c>
    </row>
    <row r="15" ht="21.75" customHeight="1" s="29">
      <c r="A15" s="25" t="n"/>
      <c r="B15" s="25" t="n"/>
      <c r="C15" s="26" t="n"/>
      <c r="D15" s="25" t="n"/>
      <c r="E15" s="25" t="n"/>
      <c r="F15" s="24">
        <f>IF(D15="","",IF(D15="Daily",E15*22,IF(D15="Weekly",E15*4.33,IF(D15="Monthly",E15,IF(D15="Quarterly",E15*0.33,IF(D15="Annually",E15*0.083,""))))))</f>
        <v/>
      </c>
      <c r="G15" s="25" t="n"/>
      <c r="H15" s="25" t="n"/>
      <c r="I15" s="25" t="n"/>
      <c r="J15" s="24">
        <f>IF(OR(F15="",I15=""),"",IF(AND(F15&gt;=8,I15&lt;&gt;"High"),"HIGH",IF(OR(F15&lt;4,I15="High"),"LOW","MEDIUM")))</f>
        <v/>
      </c>
      <c r="K15" s="34">
        <f>IF(F15="","",$C$32)</f>
        <v/>
      </c>
      <c r="L15" s="34">
        <f>IF(F15="","",F15*K15)</f>
        <v/>
      </c>
      <c r="M15" s="35">
        <f>IF(F15="","",F15)</f>
        <v/>
      </c>
    </row>
    <row r="16" ht="21.75" customHeight="1" s="29">
      <c r="A16" s="6" t="n"/>
      <c r="B16" s="6" t="n"/>
      <c r="C16" s="27" t="n"/>
      <c r="D16" s="6" t="n"/>
      <c r="E16" s="6" t="n"/>
      <c r="F16" s="16">
        <f>IF(D16="","",IF(D16="Daily",E16*22,IF(D16="Weekly",E16*4.33,IF(D16="Monthly",E16,IF(D16="Quarterly",E16*0.33,IF(D16="Annually",E16*0.083,""))))))</f>
        <v/>
      </c>
      <c r="G16" s="6" t="n"/>
      <c r="H16" s="6" t="n"/>
      <c r="I16" s="6" t="n"/>
      <c r="J16" s="16">
        <f>IF(OR(F16="",I16=""),"",IF(AND(F16&gt;=8,I16&lt;&gt;"High"),"HIGH",IF(OR(F16&lt;4,I16="High"),"LOW","MEDIUM")))</f>
        <v/>
      </c>
      <c r="K16" s="34">
        <f>IF(F16="","",$C$32)</f>
        <v/>
      </c>
      <c r="L16" s="34">
        <f>IF(F16="","",F16*K16)</f>
        <v/>
      </c>
      <c r="M16" s="35">
        <f>IF(F16="","",F16)</f>
        <v/>
      </c>
    </row>
    <row r="17" ht="21.75" customHeight="1" s="29">
      <c r="A17" s="25" t="n"/>
      <c r="B17" s="25" t="n"/>
      <c r="C17" s="26" t="n"/>
      <c r="D17" s="25" t="n"/>
      <c r="E17" s="25" t="n"/>
      <c r="F17" s="24">
        <f>IF(D17="","",IF(D17="Daily",E17*22,IF(D17="Weekly",E17*4.33,IF(D17="Monthly",E17,IF(D17="Quarterly",E17*0.33,IF(D17="Annually",E17*0.083,""))))))</f>
        <v/>
      </c>
      <c r="G17" s="25" t="n"/>
      <c r="H17" s="25" t="n"/>
      <c r="I17" s="25" t="n"/>
      <c r="J17" s="24">
        <f>IF(OR(F17="",I17=""),"",IF(AND(F17&gt;=8,I17&lt;&gt;"High"),"HIGH",IF(OR(F17&lt;4,I17="High"),"LOW","MEDIUM")))</f>
        <v/>
      </c>
      <c r="K17" s="34">
        <f>IF(F17="","",$C$32)</f>
        <v/>
      </c>
      <c r="L17" s="34">
        <f>IF(F17="","",F17*K17)</f>
        <v/>
      </c>
      <c r="M17" s="35">
        <f>IF(F17="","",F17)</f>
        <v/>
      </c>
    </row>
    <row r="18" ht="21.75" customHeight="1" s="29">
      <c r="A18" s="6" t="n"/>
      <c r="B18" s="6" t="n"/>
      <c r="C18" s="27" t="n"/>
      <c r="D18" s="6" t="n"/>
      <c r="E18" s="6" t="n"/>
      <c r="F18" s="16">
        <f>IF(D18="","",IF(D18="Daily",E18*22,IF(D18="Weekly",E18*4.33,IF(D18="Monthly",E18,IF(D18="Quarterly",E18*0.33,IF(D18="Annually",E18*0.083,""))))))</f>
        <v/>
      </c>
      <c r="G18" s="6" t="n"/>
      <c r="H18" s="6" t="n"/>
      <c r="I18" s="6" t="n"/>
      <c r="J18" s="16">
        <f>IF(OR(F18="",I18=""),"",IF(AND(F18&gt;=8,I18&lt;&gt;"High"),"HIGH",IF(OR(F18&lt;4,I18="High"),"LOW","MEDIUM")))</f>
        <v/>
      </c>
      <c r="K18" s="34">
        <f>IF(F18="","",$C$32)</f>
        <v/>
      </c>
      <c r="L18" s="34">
        <f>IF(F18="","",F18*K18)</f>
        <v/>
      </c>
      <c r="M18" s="35">
        <f>IF(F18="","",F18)</f>
        <v/>
      </c>
    </row>
    <row r="19" ht="21.75" customHeight="1" s="29">
      <c r="A19" s="25" t="n"/>
      <c r="B19" s="25" t="n"/>
      <c r="C19" s="26" t="n"/>
      <c r="D19" s="25" t="n"/>
      <c r="E19" s="25" t="n"/>
      <c r="F19" s="24">
        <f>IF(D19="","",IF(D19="Daily",E19*22,IF(D19="Weekly",E19*4.33,IF(D19="Monthly",E19,IF(D19="Quarterly",E19*0.33,IF(D19="Annually",E19*0.083,""))))))</f>
        <v/>
      </c>
      <c r="G19" s="25" t="n"/>
      <c r="H19" s="25" t="n"/>
      <c r="I19" s="25" t="n"/>
      <c r="J19" s="24">
        <f>IF(OR(F19="",I19=""),"",IF(AND(F19&gt;=8,I19&lt;&gt;"High"),"HIGH",IF(OR(F19&lt;4,I19="High"),"LOW","MEDIUM")))</f>
        <v/>
      </c>
      <c r="K19" s="34">
        <f>IF(F19="","",$C$32)</f>
        <v/>
      </c>
      <c r="L19" s="34">
        <f>IF(F19="","",F19*K19)</f>
        <v/>
      </c>
      <c r="M19" s="35">
        <f>IF(F19="","",F19)</f>
        <v/>
      </c>
    </row>
    <row r="20" ht="21.75" customHeight="1" s="29">
      <c r="A20" s="6" t="n"/>
      <c r="B20" s="6" t="n"/>
      <c r="C20" s="27" t="n"/>
      <c r="D20" s="6" t="n"/>
      <c r="E20" s="6" t="n"/>
      <c r="F20" s="16">
        <f>IF(D20="","",IF(D20="Daily",E20*22,IF(D20="Weekly",E20*4.33,IF(D20="Monthly",E20,IF(D20="Quarterly",E20*0.33,IF(D20="Annually",E20*0.083,""))))))</f>
        <v/>
      </c>
      <c r="G20" s="6" t="n"/>
      <c r="H20" s="6" t="n"/>
      <c r="I20" s="6" t="n"/>
      <c r="J20" s="16">
        <f>IF(OR(F20="",I20=""),"",IF(AND(F20&gt;=8,I20&lt;&gt;"High"),"HIGH",IF(OR(F20&lt;4,I20="High"),"LOW","MEDIUM")))</f>
        <v/>
      </c>
      <c r="K20" s="34">
        <f>IF(F20="","",$C$32)</f>
        <v/>
      </c>
      <c r="L20" s="34">
        <f>IF(F20="","",F20*K20)</f>
        <v/>
      </c>
      <c r="M20" s="35">
        <f>IF(F20="","",F20)</f>
        <v/>
      </c>
    </row>
    <row r="21" ht="21.75" customHeight="1" s="29">
      <c r="A21" s="25" t="n"/>
      <c r="B21" s="25" t="n"/>
      <c r="C21" s="26" t="n"/>
      <c r="D21" s="25" t="n"/>
      <c r="E21" s="25" t="n"/>
      <c r="F21" s="24">
        <f>IF(D21="","",IF(D21="Daily",E21*22,IF(D21="Weekly",E21*4.33,IF(D21="Monthly",E21,IF(D21="Quarterly",E21*0.33,IF(D21="Annually",E21*0.083,""))))))</f>
        <v/>
      </c>
      <c r="G21" s="25" t="n"/>
      <c r="H21" s="25" t="n"/>
      <c r="I21" s="25" t="n"/>
      <c r="J21" s="24">
        <f>IF(OR(F21="",I21=""),"",IF(AND(F21&gt;=8,I21&lt;&gt;"High"),"HIGH",IF(OR(F21&lt;4,I21="High"),"LOW","MEDIUM")))</f>
        <v/>
      </c>
      <c r="K21" s="34">
        <f>IF(F21="","",$C$32)</f>
        <v/>
      </c>
      <c r="L21" s="34">
        <f>IF(F21="","",F21*K21)</f>
        <v/>
      </c>
      <c r="M21" s="35">
        <f>IF(F21="","",F21)</f>
        <v/>
      </c>
    </row>
    <row r="22" ht="21.75" customHeight="1" s="29">
      <c r="A22" s="6" t="n"/>
      <c r="B22" s="6" t="n"/>
      <c r="C22" s="27" t="n"/>
      <c r="D22" s="6" t="n"/>
      <c r="E22" s="6" t="n"/>
      <c r="F22" s="16">
        <f>IF(D22="","",IF(D22="Daily",E22*22,IF(D22="Weekly",E22*4.33,IF(D22="Monthly",E22,IF(D22="Quarterly",E22*0.33,IF(D22="Annually",E22*0.083,""))))))</f>
        <v/>
      </c>
      <c r="G22" s="6" t="n"/>
      <c r="H22" s="6" t="n"/>
      <c r="I22" s="6" t="n"/>
      <c r="J22" s="16">
        <f>IF(OR(F22="",I22=""),"",IF(AND(F22&gt;=8,I22&lt;&gt;"High"),"HIGH",IF(OR(F22&lt;4,I22="High"),"LOW","MEDIUM")))</f>
        <v/>
      </c>
      <c r="K22" s="34">
        <f>IF(F22="","",$C$32)</f>
        <v/>
      </c>
      <c r="L22" s="34">
        <f>IF(F22="","",F22*K22)</f>
        <v/>
      </c>
      <c r="M22" s="35">
        <f>IF(F22="","",F22)</f>
        <v/>
      </c>
    </row>
    <row r="23" ht="21.75" customHeight="1" s="29">
      <c r="A23" s="25" t="n"/>
      <c r="B23" s="25" t="n"/>
      <c r="C23" s="26" t="n"/>
      <c r="D23" s="25" t="n"/>
      <c r="E23" s="25" t="n"/>
      <c r="F23" s="24">
        <f>IF(D23="","",IF(D23="Daily",E23*22,IF(D23="Weekly",E23*4.33,IF(D23="Monthly",E23,IF(D23="Quarterly",E23*0.33,IF(D23="Annually",E23*0.083,""))))))</f>
        <v/>
      </c>
      <c r="G23" s="25" t="n"/>
      <c r="H23" s="25" t="n"/>
      <c r="I23" s="25" t="n"/>
      <c r="J23" s="24">
        <f>IF(OR(F23="",I23=""),"",IF(AND(F23&gt;=8,I23&lt;&gt;"High"),"HIGH",IF(OR(F23&lt;4,I23="High"),"LOW","MEDIUM")))</f>
        <v/>
      </c>
      <c r="K23" s="34">
        <f>IF(F23="","",$C$32)</f>
        <v/>
      </c>
      <c r="L23" s="34">
        <f>IF(F23="","",F23*K23)</f>
        <v/>
      </c>
      <c r="M23" s="35">
        <f>IF(F23="","",F23)</f>
        <v/>
      </c>
    </row>
    <row r="24" ht="21.75" customHeight="1" s="29">
      <c r="A24" s="6" t="n"/>
      <c r="B24" s="6" t="n"/>
      <c r="C24" s="27" t="n"/>
      <c r="D24" s="6" t="n"/>
      <c r="E24" s="6" t="n"/>
      <c r="F24" s="16">
        <f>IF(D24="","",IF(D24="Daily",E24*22,IF(D24="Weekly",E24*4.33,IF(D24="Monthly",E24,IF(D24="Quarterly",E24*0.33,IF(D24="Annually",E24*0.083,""))))))</f>
        <v/>
      </c>
      <c r="G24" s="6" t="n"/>
      <c r="H24" s="6" t="n"/>
      <c r="I24" s="6" t="n"/>
      <c r="J24" s="16">
        <f>IF(OR(F24="",I24=""),"",IF(AND(F24&gt;=8,I24&lt;&gt;"High"),"HIGH",IF(OR(F24&lt;4,I24="High"),"LOW","MEDIUM")))</f>
        <v/>
      </c>
      <c r="K24" s="34">
        <f>IF(F24="","",$C$32)</f>
        <v/>
      </c>
      <c r="L24" s="34">
        <f>IF(F24="","",F24*K24)</f>
        <v/>
      </c>
      <c r="M24" s="35">
        <f>IF(F24="","",F24)</f>
        <v/>
      </c>
    </row>
    <row r="25" ht="21.75" customHeight="1" s="29">
      <c r="A25" s="25" t="n"/>
      <c r="B25" s="25" t="n"/>
      <c r="C25" s="26" t="n"/>
      <c r="D25" s="25" t="n"/>
      <c r="E25" s="25" t="n"/>
      <c r="F25" s="24">
        <f>IF(D25="","",IF(D25="Daily",E25*22,IF(D25="Weekly",E25*4.33,IF(D25="Monthly",E25,IF(D25="Quarterly",E25*0.33,IF(D25="Annually",E25*0.083,""))))))</f>
        <v/>
      </c>
      <c r="G25" s="25" t="n"/>
      <c r="H25" s="25" t="n"/>
      <c r="I25" s="25" t="n"/>
      <c r="J25" s="24">
        <f>IF(OR(F25="",I25=""),"",IF(AND(F25&gt;=8,I25&lt;&gt;"High"),"HIGH",IF(OR(F25&lt;4,I25="High"),"LOW","MEDIUM")))</f>
        <v/>
      </c>
      <c r="K25" s="34">
        <f>IF(F25="","",$C$32)</f>
        <v/>
      </c>
      <c r="L25" s="34">
        <f>IF(F25="","",F25*K25)</f>
        <v/>
      </c>
      <c r="M25" s="35">
        <f>IF(F25="","",F25)</f>
        <v/>
      </c>
    </row>
    <row r="26" ht="21.75" customHeight="1" s="29">
      <c r="A26" s="6" t="n"/>
      <c r="B26" s="6" t="n"/>
      <c r="C26" s="27" t="n"/>
      <c r="D26" s="6" t="n"/>
      <c r="E26" s="6" t="n"/>
      <c r="F26" s="16">
        <f>IF(D26="","",IF(D26="Daily",E26*22,IF(D26="Weekly",E26*4.33,IF(D26="Monthly",E26,IF(D26="Quarterly",E26*0.33,IF(D26="Annually",E26*0.083,""))))))</f>
        <v/>
      </c>
      <c r="G26" s="6" t="n"/>
      <c r="H26" s="6" t="n"/>
      <c r="I26" s="6" t="n"/>
      <c r="J26" s="16">
        <f>IF(OR(F26="",I26=""),"",IF(AND(F26&gt;=8,I26&lt;&gt;"High"),"HIGH",IF(OR(F26&lt;4,I26="High"),"LOW","MEDIUM")))</f>
        <v/>
      </c>
      <c r="K26" s="34">
        <f>IF(F26="","",$C$32)</f>
        <v/>
      </c>
      <c r="L26" s="34">
        <f>IF(F26="","",F26*K26)</f>
        <v/>
      </c>
      <c r="M26" s="35">
        <f>IF(F26="","",F26)</f>
        <v/>
      </c>
    </row>
    <row r="27" ht="15.75" customHeight="1" s="29"/>
    <row r="28" ht="15.75" customHeight="1" s="29">
      <c r="A28" s="28" t="inlineStr">
        <is>
          <t>Target: 10+ tasks listed. Sort by Priority. Start with HIGH priority tasks in the department you're tackling first.</t>
        </is>
      </c>
    </row>
    <row r="29" ht="15.75" customHeight="1" s="29"/>
    <row r="30" ht="15.75" customHeight="1" s="29">
      <c r="A30" s="39" t="inlineStr">
        <is>
          <t>YOUR NUMBERS  —  edit the yellow cells only</t>
        </is>
      </c>
    </row>
    <row r="31" ht="15.75" customHeight="1" s="29">
      <c r="A31" s="40" t="inlineStr">
        <is>
          <t>Your hourly rate</t>
        </is>
      </c>
      <c r="C31" s="41" t="n">
        <v>3500</v>
      </c>
      <c r="D31" s="42" t="inlineStr">
        <is>
          <t>STATED. International certification base rate (per Alicia Little).</t>
        </is>
      </c>
    </row>
    <row r="32" ht="15.75" customHeight="1" s="29">
      <c r="A32" s="40" t="inlineStr">
        <is>
          <t>Your hourly rate (used by the table)</t>
        </is>
      </c>
      <c r="C32" s="34">
        <f>C31</f>
        <v/>
      </c>
    </row>
    <row r="33" ht="15.75" customHeight="1" s="29">
      <c r="A33" s="40" t="inlineStr">
        <is>
          <t>12-month revenue goal</t>
        </is>
      </c>
      <c r="C33" s="41" t="n">
        <v>750000</v>
      </c>
      <c r="D33" s="42" t="inlineStr">
        <is>
          <t>STATED.</t>
        </is>
      </c>
    </row>
    <row r="34" ht="15.75" customHeight="1" s="29">
      <c r="A34" s="40" t="inlineStr">
        <is>
          <t>Monthly revenue target</t>
        </is>
      </c>
      <c r="C34" s="34">
        <f>C33/12</f>
        <v/>
      </c>
    </row>
    <row r="35" ht="15.75" customHeight="1" s="29">
      <c r="A35" s="43" t="inlineStr">
        <is>
          <t>BILLABLE HOURS NEEDED PER MONTH</t>
        </is>
      </c>
      <c r="C35" s="44">
        <f>C34/C31</f>
        <v/>
      </c>
      <c r="D35" s="42" t="inlineStr">
        <is>
          <t>Monthly target divided by your rate. This is the whole point.</t>
        </is>
      </c>
    </row>
    <row r="36" ht="15.75" customHeight="1" s="29">
      <c r="A36" s="40" t="inlineStr">
        <is>
          <t>Hours you actually work per day</t>
        </is>
      </c>
      <c r="C36" s="45" t="n">
        <v>15</v>
      </c>
      <c r="D36" s="42" t="inlineStr">
        <is>
          <t>STATED: "at least 15 hours a day".</t>
        </is>
      </c>
    </row>
    <row r="37" ht="15.75" customHeight="1" s="29">
      <c r="A37" s="40" t="inlineStr">
        <is>
          <t>Days you work per month</t>
        </is>
      </c>
      <c r="C37" s="46" t="n">
        <v>30</v>
      </c>
      <c r="D37" s="42" t="inlineStr">
        <is>
          <t>STATED: works 7 days, inverted sleep.</t>
        </is>
      </c>
    </row>
    <row r="38" ht="15.75" customHeight="1" s="29">
      <c r="A38" s="40" t="inlineStr">
        <is>
          <t>Hours you actually work per month</t>
        </is>
      </c>
      <c r="C38" s="47">
        <f>C36*C37</f>
        <v/>
      </c>
    </row>
    <row r="39" ht="15.75" customHeight="1" s="29">
      <c r="A39" s="43" t="inlineStr">
        <is>
          <t>HOURS WORKED PER BILLABLE HOUR NEEDED</t>
        </is>
      </c>
      <c r="C39" s="48">
        <f>IF(C35=0,"",C38/C35)</f>
        <v/>
      </c>
      <c r="D39" s="42" t="inlineStr">
        <is>
          <t>How many hours you put in for every one hour you actually need to sell.</t>
        </is>
      </c>
    </row>
    <row r="40" ht="15.75" customHeight="1" s="29">
      <c r="A40" s="40" t="inlineStr">
        <is>
          <t>Revenue collected, last 3 months</t>
        </is>
      </c>
      <c r="C40" s="41" t="n">
        <v>6500</v>
      </c>
      <c r="D40" s="42" t="inlineStr">
        <is>
          <t>$2,500 + $4,000. NOT the $10,000 valued - collected.</t>
        </is>
      </c>
    </row>
    <row r="41" ht="15.75" customHeight="1" s="29">
      <c r="A41" s="40" t="inlineStr">
        <is>
          <t>Billable hours that represents</t>
        </is>
      </c>
      <c r="C41" s="49">
        <f>C40/C31</f>
        <v/>
      </c>
      <c r="D41" s="42" t="inlineStr">
        <is>
          <t>Collected divided by your rate.</t>
        </is>
      </c>
    </row>
    <row r="42" ht="15.75" customHeight="1" s="29">
      <c r="A42" s="40" t="inlineStr">
        <is>
          <t>Billable hours needed over the same 3 months</t>
        </is>
      </c>
      <c r="C42" s="35">
        <f>C35*3</f>
        <v/>
      </c>
    </row>
    <row r="43" ht="15.75" customHeight="1" s="29"/>
    <row r="44" ht="15.75" customHeight="1" s="29">
      <c r="A44" s="50" t="inlineStr">
        <is>
          <t>TOTAL hours per month on this list</t>
        </is>
      </c>
      <c r="C44" s="51">
        <f>SUM(F4:F26)</f>
        <v/>
      </c>
    </row>
    <row r="45" ht="15.75" customHeight="1" s="29">
      <c r="A45" s="50" t="inlineStr">
        <is>
          <t>TOTAL capacity value at your rate</t>
        </is>
      </c>
      <c r="C45" s="52">
        <f>SUM(L4:L26)</f>
        <v/>
      </c>
    </row>
    <row r="46" ht="15.75" customHeight="1" s="29">
      <c r="A46" s="50" t="inlineStr">
        <is>
          <t>HOURS NOT YET ON THIS LIST</t>
        </is>
      </c>
      <c r="C46" s="53">
        <f>C38-C44</f>
        <v/>
      </c>
      <c r="D46" s="42" t="inlineStr">
        <is>
          <t>This is the gap between the 450 hours you work and the tasks mapped above. Breaking THIS down is the next pass - it is where the 15-hour days actually go.</t>
        </is>
      </c>
    </row>
    <row r="47" ht="15.75" customHeight="1" s="29">
      <c r="A47" s="42" t="inlineStr">
        <is>
          <t>READ THIS: "Capacity value at your rate" is what those hours WOULD bill if a client bought them. It is a ceiling, not money lost - nobody buys 450 consulting hours a month. The number that matters is C35: at $3,500/hr you need about 18 billable hours a month to hit $62,500. C39 shows how many hours you work for each one of those. C46 shows how many hours are still unaccounted for.</t>
        </is>
      </c>
    </row>
    <row r="48" ht="15.75" customHeight="1" s="29">
      <c r="A48" s="42" t="inlineStr">
        <is>
          <t>LEGEND: yellow = you edit. Blue text = you supplied. Black = calculated, do not type over. Hover any task name to see whether the number was stated or estimated.</t>
        </is>
      </c>
    </row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</sheetData>
  <mergeCells count="2">
    <mergeCell ref="A1:J1"/>
    <mergeCell ref="A28:J28"/>
  </mergeCells>
  <conditionalFormatting sqref="J4:J26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dataValidations count="5">
    <dataValidation sqref="B4:B26" showDropDown="0" showInputMessage="0" showErrorMessage="0" allowBlank="1" type="list">
      <formula1>"Marketing,Sales,Product/Delivery,Customer Success,Operations,Finance,Other"</formula1>
    </dataValidation>
    <dataValidation sqref="G4:H26" showDropDown="0" showInputMessage="0" showErrorMessage="0" allowBlank="1" type="list">
      <formula1>"Doing,Defining,Designing,Delegating"</formula1>
    </dataValidation>
    <dataValidation sqref="E4:E26" showDropDown="0" showInputMessage="0" showErrorMessage="0" allowBlank="1" type="decimal" operator="greaterThan">
      <formula1>0.0</formula1>
    </dataValidation>
    <dataValidation sqref="I4:I26" showDropDown="0" showInputMessage="0" showErrorMessage="0" allowBlank="1" type="list">
      <formula1>"Low,Medium,High"</formula1>
    </dataValidation>
    <dataValidation sqref="D4:D26" showDropDown="0" showInputMessage="0" showErrorMessage="0" allowBlank="1" type="list">
      <formula1>"Daily,Weekly,Monthly,Quarterly,Annually"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29" min="1" max="1"/>
    <col width="35" customWidth="1" style="29" min="2" max="2"/>
    <col width="22" customWidth="1" style="29" min="3" max="3"/>
    <col width="35" customWidth="1" style="29" min="4" max="4"/>
    <col width="8.710000000000001" customWidth="1" style="29" min="5" max="26"/>
  </cols>
  <sheetData>
    <row r="1">
      <c r="A1" s="1" t="inlineStr">
        <is>
          <t>The 4 Stages, Cost Levels, and Priority Logic</t>
        </is>
      </c>
    </row>
    <row r="2">
      <c r="A2" s="2" t="inlineStr">
        <is>
          <t>Quick reference for everything on the Opportunity Map tab</t>
        </is>
      </c>
    </row>
    <row r="4">
      <c r="A4" s="3" t="inlineStr">
        <is>
          <t>The 4 Stages of Work Ownership</t>
        </is>
      </c>
    </row>
    <row r="5">
      <c r="A5" s="2" t="inlineStr">
        <is>
          <t>Every task moves through these stages in order. Each stage is a prerequisite for the next.</t>
        </is>
      </c>
    </row>
    <row r="7" ht="25.5" customHeight="1" s="29">
      <c r="A7" s="5" t="inlineStr">
        <is>
          <t>Stage</t>
        </is>
      </c>
      <c r="B7" s="5" t="inlineStr">
        <is>
          <t>What it means</t>
        </is>
      </c>
      <c r="C7" s="5" t="inlineStr">
        <is>
          <t>Who does the work</t>
        </is>
      </c>
      <c r="D7" s="5" t="inlineStr">
        <is>
          <t>Example</t>
        </is>
      </c>
    </row>
    <row r="8" ht="49.5" customHeight="1" s="29">
      <c r="A8" s="7" t="inlineStr">
        <is>
          <t>Doing</t>
        </is>
      </c>
      <c r="B8" s="8" t="inlineStr">
        <is>
          <t>You execute the task yourself, every time. Hands on keyboard.</t>
        </is>
      </c>
      <c r="C8" s="9" t="inlineStr">
        <is>
          <t>You</t>
        </is>
      </c>
      <c r="D8" s="10" t="inlineStr">
        <is>
          <t>You write your weekly newsletter from scratch every Monday.</t>
        </is>
      </c>
    </row>
    <row r="9" ht="49.5" customHeight="1" s="29">
      <c r="A9" s="12" t="inlineStr">
        <is>
          <t>Defining</t>
        </is>
      </c>
      <c r="B9" s="8" t="inlineStr">
        <is>
          <t>You document HOW the task is currently done. SOP, voice memo, Loom.</t>
        </is>
      </c>
      <c r="C9" s="9" t="inlineStr">
        <is>
          <t>You (capturing)</t>
        </is>
      </c>
      <c r="D9" s="10" t="inlineStr">
        <is>
          <t>You record yourself writing the newsletter and turn it into an SOP.</t>
        </is>
      </c>
    </row>
    <row r="10" ht="49.5" customHeight="1" s="29">
      <c r="A10" s="13" t="inlineStr">
        <is>
          <t>Designing</t>
        </is>
      </c>
      <c r="B10" s="8" t="inlineStr">
        <is>
          <t>You redesign the process FOR AI. What inputs, what decisions, what output format.</t>
        </is>
      </c>
      <c r="C10" s="9" t="inlineStr">
        <is>
          <t>You (architecting)</t>
        </is>
      </c>
      <c r="D10" s="10" t="inlineStr">
        <is>
          <t>You spec the AI Newsletter Writer: voice samples, content sources, approval rules.</t>
        </is>
      </c>
    </row>
    <row r="11" ht="49.5" customHeight="1" s="29">
      <c r="A11" s="14" t="inlineStr">
        <is>
          <t>Delegating</t>
        </is>
      </c>
      <c r="B11" s="8" t="inlineStr">
        <is>
          <t>AI employee or team member owns the work. Runs without you per-instance.</t>
        </is>
      </c>
      <c r="C11" s="9" t="inlineStr">
        <is>
          <t>AI / Team member</t>
        </is>
      </c>
      <c r="D11" s="10" t="inlineStr">
        <is>
          <t>The AI Newsletter Writer drafts every Monday. You review and approve.</t>
        </is>
      </c>
    </row>
    <row r="14">
      <c r="A14" s="3" t="inlineStr">
        <is>
          <t>Cost of Doing it Wrong</t>
        </is>
      </c>
    </row>
    <row r="15">
      <c r="A15" s="2" t="inlineStr">
        <is>
          <t>How bad is it if AI gets this task wrong? This flags HOW to deploy, not WHETHER.</t>
        </is>
      </c>
    </row>
    <row r="17" ht="25.5" customHeight="1" s="29">
      <c r="A17" s="5" t="inlineStr">
        <is>
          <t>Cost</t>
        </is>
      </c>
      <c r="B17" s="5" t="inlineStr">
        <is>
          <t>Definition</t>
        </is>
      </c>
      <c r="C17" s="5" t="inlineStr">
        <is>
          <t>How to deploy</t>
        </is>
      </c>
      <c r="D17" s="5" t="inlineStr">
        <is>
          <t>Examples</t>
        </is>
      </c>
    </row>
    <row r="18" ht="48" customHeight="1" s="29">
      <c r="A18" s="14" t="inlineStr">
        <is>
          <t>Low</t>
        </is>
      </c>
      <c r="B18" s="8" t="inlineStr">
        <is>
          <t>If AI gets this wrong, no real damage. Easy to fix or doesn't matter much.</t>
        </is>
      </c>
      <c r="C18" s="15" t="inlineStr">
        <is>
          <t>Deploy fast. Spot-check.</t>
        </is>
      </c>
      <c r="D18" s="10" t="inlineStr">
        <is>
          <t>Marketing first drafts. Internal reports. Brainstorm starters.</t>
        </is>
      </c>
    </row>
    <row r="19" ht="48" customHeight="1" s="29">
      <c r="A19" s="12" t="inlineStr">
        <is>
          <t>Medium</t>
        </is>
      </c>
      <c r="B19" s="8" t="inlineStr">
        <is>
          <t>If AI gets this wrong, embarrassing but fixable. Some review needed.</t>
        </is>
      </c>
      <c r="C19" s="15" t="inlineStr">
        <is>
          <t>Deploy with light oversight.</t>
        </is>
      </c>
      <c r="D19" s="10" t="inlineStr">
        <is>
          <t>Customer email replies. Social posts. Sales follow-ups.</t>
        </is>
      </c>
    </row>
    <row r="20" ht="48" customHeight="1" s="29">
      <c r="A20" s="7" t="inlineStr">
        <is>
          <t>High</t>
        </is>
      </c>
      <c r="B20" s="8" t="inlineStr">
        <is>
          <t>If AI gets this wrong, real damage to brand, finances, or relationships.</t>
        </is>
      </c>
      <c r="C20" s="15" t="inlineStr">
        <is>
          <t>Stay at Defining longer. Heavy oversight when deployed.</t>
        </is>
      </c>
      <c r="D20" s="10" t="inlineStr">
        <is>
          <t>Legal contracts. Financial decisions. Public statements.</t>
        </is>
      </c>
    </row>
    <row r="21" ht="15.75" customHeight="1" s="29"/>
    <row r="22" ht="15.75" customHeight="1" s="29">
      <c r="A22" s="3" t="inlineStr">
        <is>
          <t>Priority Logic</t>
        </is>
      </c>
    </row>
    <row r="23" ht="15.75" customHeight="1" s="29">
      <c r="A23" s="2" t="inlineStr">
        <is>
          <t>Auto-calculated. Combines time savings (Total hrs/month) and deployment risk (Cost of doing it wrong).</t>
        </is>
      </c>
    </row>
    <row r="24" ht="15.75" customHeight="1" s="29"/>
    <row r="25" ht="25.5" customHeight="1" s="29">
      <c r="A25" s="5" t="inlineStr">
        <is>
          <t>Priority</t>
        </is>
      </c>
      <c r="B25" s="5" t="inlineStr">
        <is>
          <t>When it triggers</t>
        </is>
      </c>
      <c r="C25" s="5" t="inlineStr">
        <is>
          <t>What to do</t>
        </is>
      </c>
    </row>
    <row r="26" ht="42" customHeight="1" s="29">
      <c r="A26" s="17" t="inlineStr">
        <is>
          <t>HIGH</t>
        </is>
      </c>
      <c r="B26" s="8" t="inlineStr">
        <is>
          <t>Total hrs/month ≥ 8  AND  Cost of doing it wrong is NOT High</t>
        </is>
      </c>
      <c r="C26" s="10" t="inlineStr">
        <is>
          <t>Real time savings + safe to deploy. Build first.</t>
        </is>
      </c>
    </row>
    <row r="27" ht="42" customHeight="1" s="29">
      <c r="A27" s="18" t="inlineStr">
        <is>
          <t>MEDIUM</t>
        </is>
      </c>
      <c r="B27" s="8" t="inlineStr">
        <is>
          <t>Between LOW and HIGH (moderate time savings, moderate risk)</t>
        </is>
      </c>
      <c r="C27" s="10" t="inlineStr">
        <is>
          <t>Worth building, but not first. Build after HIGH tasks.</t>
        </is>
      </c>
    </row>
    <row r="28" ht="42" customHeight="1" s="29">
      <c r="A28" s="19" t="inlineStr">
        <is>
          <t>LOW</t>
        </is>
      </c>
      <c r="B28" s="8" t="inlineStr">
        <is>
          <t>Total hrs/month &lt; 4  OR  Cost of doing it wrong is High</t>
        </is>
      </c>
      <c r="C28" s="10" t="inlineStr">
        <is>
          <t>Small savings or risky. Defer, or stay at Defining longer.</t>
        </is>
      </c>
    </row>
    <row r="29" ht="15.75" customHeight="1" s="29"/>
    <row r="30" ht="15.75" customHeight="1" s="29">
      <c r="A30" s="20" t="inlineStr">
        <is>
          <t>How to use this together</t>
        </is>
      </c>
    </row>
    <row r="31" ht="39.75" customHeight="1" s="29">
      <c r="A31" s="21" t="inlineStr">
        <is>
          <t>Fill out every column on the Opportunity Map. Total hrs/month and Priority auto-calculate. Sort by Priority. Tackle HIGH tasks first in the department your AWA week is focused on.</t>
        </is>
      </c>
    </row>
    <row r="32" ht="15.75" customHeight="1" s="29"/>
    <row r="33" ht="15.75" customHeight="1" s="29"/>
    <row r="34" ht="15.75" customHeight="1" s="29"/>
    <row r="35" ht="15.75" customHeight="1" s="29"/>
    <row r="36" ht="15.75" customHeight="1" s="29"/>
    <row r="37" ht="15.75" customHeight="1" s="29"/>
    <row r="38" ht="15.75" customHeight="1" s="29"/>
    <row r="39" ht="15.75" customHeight="1" s="29"/>
    <row r="40" ht="15.75" customHeight="1" s="29"/>
    <row r="41" ht="15.75" customHeight="1" s="29"/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mergeCells count="9">
    <mergeCell ref="A4:E4"/>
    <mergeCell ref="A2:E2"/>
    <mergeCell ref="A15:E15"/>
    <mergeCell ref="A1:E1"/>
    <mergeCell ref="A23:E23"/>
    <mergeCell ref="A5:E5"/>
    <mergeCell ref="A14:E14"/>
    <mergeCell ref="A22:E22"/>
    <mergeCell ref="A31:E3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2026-08-30T05:20:17Z</dcterms:created>
  <dcterms:modified xsi:type="dcterms:W3CDTF">2026-08-30T05:30:30Z</dcterms:modified>
</cp:coreProperties>
</file>